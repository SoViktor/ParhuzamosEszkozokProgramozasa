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17"/>
  <workbookPr defaultThemeVersion="166925"/>
  <xr:revisionPtr revIDLastSave="0" documentId="8_{85E60B47-E3B7-4945-9F99-7C88CFD0487C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Munk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3" i="1" l="1"/>
  <c r="B32" i="1"/>
  <c r="B31" i="1"/>
  <c r="B30" i="1"/>
  <c r="B29" i="1"/>
  <c r="A33" i="1"/>
  <c r="A32" i="1"/>
  <c r="A31" i="1"/>
  <c r="A30" i="1"/>
  <c r="A29" i="1"/>
  <c r="X4" i="1"/>
  <c r="X5" i="1"/>
  <c r="X6" i="1"/>
  <c r="X7" i="1"/>
  <c r="X8" i="1"/>
  <c r="X9" i="1"/>
  <c r="X10" i="1"/>
  <c r="X11" i="1"/>
  <c r="X12" i="1"/>
  <c r="X13" i="1"/>
  <c r="S4" i="1"/>
  <c r="S5" i="1"/>
  <c r="S6" i="1"/>
  <c r="S7" i="1"/>
  <c r="S8" i="1"/>
  <c r="S9" i="1"/>
  <c r="S10" i="1"/>
  <c r="S11" i="1"/>
  <c r="S12" i="1"/>
  <c r="S13" i="1"/>
  <c r="N4" i="1"/>
  <c r="N5" i="1"/>
  <c r="N6" i="1"/>
  <c r="N7" i="1"/>
  <c r="N8" i="1"/>
  <c r="N9" i="1"/>
  <c r="N10" i="1"/>
  <c r="N11" i="1"/>
  <c r="N12" i="1"/>
  <c r="N13" i="1"/>
  <c r="I4" i="1"/>
  <c r="I5" i="1"/>
  <c r="I6" i="1"/>
  <c r="I7" i="1"/>
  <c r="I8" i="1"/>
  <c r="I9" i="1"/>
  <c r="I10" i="1"/>
  <c r="I11" i="1"/>
  <c r="I12" i="1"/>
  <c r="I13" i="1"/>
  <c r="D4" i="1"/>
  <c r="D5" i="1"/>
  <c r="D6" i="1"/>
  <c r="D7" i="1"/>
  <c r="D8" i="1"/>
  <c r="D9" i="1"/>
  <c r="D10" i="1"/>
  <c r="D11" i="1"/>
  <c r="D12" i="1"/>
  <c r="D13" i="1"/>
  <c r="W13" i="1"/>
  <c r="V13" i="1"/>
  <c r="X3" i="1"/>
  <c r="R13" i="1"/>
  <c r="Q13" i="1"/>
  <c r="S3" i="1"/>
  <c r="C13" i="1"/>
  <c r="B13" i="1"/>
  <c r="D3" i="1"/>
  <c r="M13" i="1"/>
  <c r="L13" i="1"/>
  <c r="N3" i="1"/>
  <c r="I3" i="1"/>
  <c r="H13" i="1"/>
  <c r="G13" i="1"/>
</calcChain>
</file>

<file path=xl/sharedStrings.xml><?xml version="1.0" encoding="utf-8"?>
<sst xmlns="http://schemas.openxmlformats.org/spreadsheetml/2006/main" count="28" uniqueCount="6">
  <si>
    <t>Lépések:</t>
  </si>
  <si>
    <t>OpenCl</t>
  </si>
  <si>
    <t>CPU</t>
  </si>
  <si>
    <t>Gyorsítás</t>
  </si>
  <si>
    <t>Átlag:</t>
  </si>
  <si>
    <t>Gyorsítás táblázat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</si>
</sst>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7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19" xfId="0" applyBorder="1" applyAlignment="1"/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0" fillId="0" borderId="24" xfId="0" applyBorder="1"/>
    <xf numFmtId="0" fontId="0" fillId="0" borderId="26" xfId="0" applyBorder="1"/>
    <xf numFmtId="0" fontId="0" fillId="0" borderId="25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5" xfId="0" applyBorder="1" applyAlignment="1">
      <alignment horizontal="center"/>
    </xf>
  </cellXfs>
  <cellStyles count="1">
    <cellStyle name="Normá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10 lépés</a:t>
            </a:r>
          </a:p>
        </c:rich>
      </c:tx>
      <c:layout>
        <c:manualLayout>
          <c:xMode val="edge"/>
          <c:yMode val="edge"/>
          <c:x val="0.34788049641942903"/>
          <c:y val="2.641509433962264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Munka1!$B$2:$C$2</c:f>
              <c:strCache>
                <c:ptCount val="2"/>
                <c:pt idx="0">
                  <c:v>OpenCl</c:v>
                </c:pt>
                <c:pt idx="1">
                  <c:v>CPU</c:v>
                </c:pt>
              </c:strCache>
            </c:strRef>
          </c:cat>
          <c:val>
            <c:numRef>
              <c:f>Munka1!$B$13:$C$13</c:f>
              <c:numCache>
                <c:formatCode>General</c:formatCode>
                <c:ptCount val="2"/>
                <c:pt idx="0">
                  <c:v>3.8999999999999994E-3</c:v>
                </c:pt>
                <c:pt idx="1">
                  <c:v>7.7000000000000011E-3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44D-49C8-845B-CAE57E1948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69302536"/>
        <c:axId val="1809986056"/>
      </c:barChart>
      <c:catAx>
        <c:axId val="17693025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9986056"/>
        <c:crosses val="autoZero"/>
        <c:auto val="1"/>
        <c:lblAlgn val="ctr"/>
        <c:lblOffset val="100"/>
        <c:noMultiLvlLbl val="0"/>
      </c:catAx>
      <c:valAx>
        <c:axId val="1809986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93025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100 lépés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Munka1!$G$2:$H$2</c:f>
              <c:strCache>
                <c:ptCount val="2"/>
                <c:pt idx="0">
                  <c:v>OpenCl</c:v>
                </c:pt>
                <c:pt idx="1">
                  <c:v>CPU</c:v>
                </c:pt>
              </c:strCache>
            </c:strRef>
          </c:cat>
          <c:val>
            <c:numRef>
              <c:f>Munka1!$G$13:$H$13</c:f>
              <c:numCache>
                <c:formatCode>General</c:formatCode>
                <c:ptCount val="2"/>
                <c:pt idx="0">
                  <c:v>1.5800000000000002E-2</c:v>
                </c:pt>
                <c:pt idx="1">
                  <c:v>9.9299999999999986E-2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AF7-4D76-A4AB-2716B0B70C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56891143"/>
        <c:axId val="1356893191"/>
      </c:barChart>
      <c:catAx>
        <c:axId val="13568911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6893191"/>
        <c:crosses val="autoZero"/>
        <c:auto val="1"/>
        <c:lblAlgn val="ctr"/>
        <c:lblOffset val="100"/>
        <c:noMultiLvlLbl val="0"/>
      </c:catAx>
      <c:valAx>
        <c:axId val="13568931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68911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200 lépés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Munka1!$L$2:$M$2</c:f>
              <c:strCache>
                <c:ptCount val="2"/>
                <c:pt idx="0">
                  <c:v>OpenCl</c:v>
                </c:pt>
                <c:pt idx="1">
                  <c:v>CPU</c:v>
                </c:pt>
              </c:strCache>
            </c:strRef>
          </c:cat>
          <c:val>
            <c:numRef>
              <c:f>Munka1!$L$13:$M$13</c:f>
              <c:numCache>
                <c:formatCode>General</c:formatCode>
                <c:ptCount val="2"/>
                <c:pt idx="0">
                  <c:v>2.8500000000000004E-2</c:v>
                </c:pt>
                <c:pt idx="1">
                  <c:v>0.22410000000000002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5F3-42E5-A1D4-AA82F78364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66047752"/>
        <c:axId val="1766049800"/>
      </c:barChart>
      <c:catAx>
        <c:axId val="17660477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6049800"/>
        <c:crosses val="autoZero"/>
        <c:auto val="1"/>
        <c:lblAlgn val="ctr"/>
        <c:lblOffset val="100"/>
        <c:noMultiLvlLbl val="0"/>
      </c:catAx>
      <c:valAx>
        <c:axId val="1766049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6047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500 lépés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Munka1!$Q$2:$R$2</c:f>
              <c:strCache>
                <c:ptCount val="2"/>
                <c:pt idx="0">
                  <c:v>OpenCl</c:v>
                </c:pt>
                <c:pt idx="1">
                  <c:v>CPU</c:v>
                </c:pt>
              </c:strCache>
            </c:strRef>
          </c:cat>
          <c:val>
            <c:numRef>
              <c:f>Munka1!$Q$13:$R$13</c:f>
              <c:numCache>
                <c:formatCode>General</c:formatCode>
                <c:ptCount val="2"/>
                <c:pt idx="0">
                  <c:v>6.8500000000000005E-2</c:v>
                </c:pt>
                <c:pt idx="1">
                  <c:v>0.70229999999999992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466-46F3-84D4-B47FEEFE9A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52088584"/>
        <c:axId val="1747633160"/>
      </c:barChart>
      <c:catAx>
        <c:axId val="17520885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7633160"/>
        <c:crosses val="autoZero"/>
        <c:auto val="1"/>
        <c:lblAlgn val="ctr"/>
        <c:lblOffset val="100"/>
        <c:noMultiLvlLbl val="0"/>
      </c:catAx>
      <c:valAx>
        <c:axId val="1747633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20885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1000 lépés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Munka1!$V$2:$W$2</c:f>
              <c:strCache>
                <c:ptCount val="2"/>
                <c:pt idx="0">
                  <c:v>OpenCl</c:v>
                </c:pt>
                <c:pt idx="1">
                  <c:v>CPU</c:v>
                </c:pt>
              </c:strCache>
            </c:strRef>
          </c:cat>
          <c:val>
            <c:numRef>
              <c:f>Munka1!$V$13:$W$13</c:f>
              <c:numCache>
                <c:formatCode>General</c:formatCode>
                <c:ptCount val="2"/>
                <c:pt idx="0">
                  <c:v>0.27129999999999999</c:v>
                </c:pt>
                <c:pt idx="1">
                  <c:v>3.2753000000000001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ED0-4B56-ACEC-7B6B276B10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29018120"/>
        <c:axId val="1752102408"/>
      </c:barChart>
      <c:catAx>
        <c:axId val="18290181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2102408"/>
        <c:crosses val="autoZero"/>
        <c:auto val="1"/>
        <c:lblAlgn val="ctr"/>
        <c:lblOffset val="100"/>
        <c:noMultiLvlLbl val="0"/>
      </c:catAx>
      <c:valAx>
        <c:axId val="1752102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90181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Gyorsítás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Munka1!$B$27:$B$28</c:f>
              <c:strCache>
                <c:ptCount val="2"/>
                <c:pt idx="0">
                  <c:v>Gyorsítás táblázat</c:v>
                </c:pt>
                <c:pt idx="1">
                  <c:v>Gyorsítás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Munka1!$A$29:$A$33</c:f>
              <c:numCache>
                <c:formatCode>General</c:formatCode>
                <c:ptCount val="5"/>
                <c:pt idx="0">
                  <c:v>10</c:v>
                </c:pt>
                <c:pt idx="1">
                  <c:v>100</c:v>
                </c:pt>
                <c:pt idx="2">
                  <c:v>200</c:v>
                </c:pt>
                <c:pt idx="3">
                  <c:v>500</c:v>
                </c:pt>
                <c:pt idx="4">
                  <c:v>2000</c:v>
                </c:pt>
              </c:numCache>
            </c:numRef>
          </c:xVal>
          <c:yVal>
            <c:numRef>
              <c:f>Munka1!$B$29:$B$33</c:f>
              <c:numCache>
                <c:formatCode>General</c:formatCode>
                <c:ptCount val="5"/>
                <c:pt idx="0">
                  <c:v>1.9743589743589749</c:v>
                </c:pt>
                <c:pt idx="1">
                  <c:v>6.2848101265822773</c:v>
                </c:pt>
                <c:pt idx="2">
                  <c:v>7.8631578947368412</c:v>
                </c:pt>
                <c:pt idx="3">
                  <c:v>10.252554744525545</c:v>
                </c:pt>
                <c:pt idx="4">
                  <c:v>12.072613343162551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6E7-4362-BE59-CA24A2509A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69296392"/>
        <c:axId val="1769298952"/>
      </c:scatterChart>
      <c:valAx>
        <c:axId val="17692963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9298952"/>
        <c:crosses val="autoZero"/>
        <c:crossBetween val="midCat"/>
      </c:valAx>
      <c:valAx>
        <c:axId val="17692989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929639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14</xdr:row>
      <xdr:rowOff>0</xdr:rowOff>
    </xdr:from>
    <xdr:to>
      <xdr:col>4</xdr:col>
      <xdr:colOff>0</xdr:colOff>
      <xdr:row>25</xdr:row>
      <xdr:rowOff>19050</xdr:rowOff>
    </xdr:to>
    <xdr:graphicFrame macro="">
      <xdr:nvGraphicFramePr>
        <xdr:cNvPr id="6" name="Diagram 5">
          <a:extLst>
            <a:ext uri="{FF2B5EF4-FFF2-40B4-BE49-F238E27FC236}">
              <a16:creationId xmlns:a16="http://schemas.microsoft.com/office/drawing/2014/main" id="{08FAB6A8-1DAB-4978-9053-C033722E422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600075</xdr:colOff>
      <xdr:row>13</xdr:row>
      <xdr:rowOff>180975</xdr:rowOff>
    </xdr:from>
    <xdr:to>
      <xdr:col>9</xdr:col>
      <xdr:colOff>9525</xdr:colOff>
      <xdr:row>24</xdr:row>
      <xdr:rowOff>133350</xdr:rowOff>
    </xdr:to>
    <xdr:graphicFrame macro="">
      <xdr:nvGraphicFramePr>
        <xdr:cNvPr id="7" name="Diagram 6">
          <a:extLst>
            <a:ext uri="{FF2B5EF4-FFF2-40B4-BE49-F238E27FC236}">
              <a16:creationId xmlns:a16="http://schemas.microsoft.com/office/drawing/2014/main" id="{D29537F0-BF37-E566-121C-DE8CB40D3D64}"/>
            </a:ext>
            <a:ext uri="{147F2762-F138-4A5C-976F-8EAC2B608ADB}">
              <a16:predDERef xmlns:a16="http://schemas.microsoft.com/office/drawing/2014/main" pred="{08FAB6A8-1DAB-4978-9053-C033722E422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590550</xdr:colOff>
      <xdr:row>14</xdr:row>
      <xdr:rowOff>0</xdr:rowOff>
    </xdr:from>
    <xdr:to>
      <xdr:col>13</xdr:col>
      <xdr:colOff>590550</xdr:colOff>
      <xdr:row>25</xdr:row>
      <xdr:rowOff>0</xdr:rowOff>
    </xdr:to>
    <xdr:graphicFrame macro="">
      <xdr:nvGraphicFramePr>
        <xdr:cNvPr id="8" name="Diagram 7">
          <a:extLst>
            <a:ext uri="{FF2B5EF4-FFF2-40B4-BE49-F238E27FC236}">
              <a16:creationId xmlns:a16="http://schemas.microsoft.com/office/drawing/2014/main" id="{E36B6011-B99A-AD6D-A7D0-80A6593DF408}"/>
            </a:ext>
            <a:ext uri="{147F2762-F138-4A5C-976F-8EAC2B608ADB}">
              <a16:predDERef xmlns:a16="http://schemas.microsoft.com/office/drawing/2014/main" pred="{D29537F0-BF37-E566-121C-DE8CB40D3D6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14</xdr:col>
      <xdr:colOff>590550</xdr:colOff>
      <xdr:row>13</xdr:row>
      <xdr:rowOff>171450</xdr:rowOff>
    </xdr:from>
    <xdr:to>
      <xdr:col>18</xdr:col>
      <xdr:colOff>600075</xdr:colOff>
      <xdr:row>24</xdr:row>
      <xdr:rowOff>180975</xdr:rowOff>
    </xdr:to>
    <xdr:graphicFrame macro="">
      <xdr:nvGraphicFramePr>
        <xdr:cNvPr id="9" name="Diagram 8">
          <a:extLst>
            <a:ext uri="{FF2B5EF4-FFF2-40B4-BE49-F238E27FC236}">
              <a16:creationId xmlns:a16="http://schemas.microsoft.com/office/drawing/2014/main" id="{EE1A56FC-7607-F354-4984-FBDA2A66A8BA}"/>
            </a:ext>
            <a:ext uri="{147F2762-F138-4A5C-976F-8EAC2B608ADB}">
              <a16:predDERef xmlns:a16="http://schemas.microsoft.com/office/drawing/2014/main" pred="{E36B6011-B99A-AD6D-A7D0-80A6593DF40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19</xdr:col>
      <xdr:colOff>600075</xdr:colOff>
      <xdr:row>13</xdr:row>
      <xdr:rowOff>180975</xdr:rowOff>
    </xdr:from>
    <xdr:to>
      <xdr:col>24</xdr:col>
      <xdr:colOff>0</xdr:colOff>
      <xdr:row>25</xdr:row>
      <xdr:rowOff>9525</xdr:rowOff>
    </xdr:to>
    <xdr:graphicFrame macro="">
      <xdr:nvGraphicFramePr>
        <xdr:cNvPr id="10" name="Diagram 9">
          <a:extLst>
            <a:ext uri="{FF2B5EF4-FFF2-40B4-BE49-F238E27FC236}">
              <a16:creationId xmlns:a16="http://schemas.microsoft.com/office/drawing/2014/main" id="{6465538B-D91F-E51F-A078-67852E45DAC9}"/>
            </a:ext>
            <a:ext uri="{147F2762-F138-4A5C-976F-8EAC2B608ADB}">
              <a16:predDERef xmlns:a16="http://schemas.microsoft.com/office/drawing/2014/main" pred="{EE1A56FC-7607-F354-4984-FBDA2A66A8B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</xdr:col>
      <xdr:colOff>609600</xdr:colOff>
      <xdr:row>25</xdr:row>
      <xdr:rowOff>161925</xdr:rowOff>
    </xdr:from>
    <xdr:to>
      <xdr:col>10</xdr:col>
      <xdr:colOff>285750</xdr:colOff>
      <xdr:row>40</xdr:row>
      <xdr:rowOff>47625</xdr:rowOff>
    </xdr:to>
    <xdr:graphicFrame macro="">
      <xdr:nvGraphicFramePr>
        <xdr:cNvPr id="14" name="Diagram 13">
          <a:extLst>
            <a:ext uri="{FF2B5EF4-FFF2-40B4-BE49-F238E27FC236}">
              <a16:creationId xmlns:a16="http://schemas.microsoft.com/office/drawing/2014/main" id="{D38E4CCE-71C7-1728-5FD9-5001C1B40636}"/>
            </a:ext>
            <a:ext uri="{147F2762-F138-4A5C-976F-8EAC2B608ADB}">
              <a16:predDERef xmlns:a16="http://schemas.microsoft.com/office/drawing/2014/main" pred="{6465538B-D91F-E51F-A078-67852E45DAC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33"/>
  <sheetViews>
    <sheetView tabSelected="1" topLeftCell="A21" workbookViewId="0">
      <selection activeCell="C29" sqref="C29"/>
    </sheetView>
  </sheetViews>
  <sheetFormatPr defaultRowHeight="15"/>
  <cols>
    <col min="3" max="3" width="9.42578125" bestFit="1" customWidth="1"/>
  </cols>
  <sheetData>
    <row r="1" spans="1:24">
      <c r="A1" s="19" t="s">
        <v>0</v>
      </c>
      <c r="B1" s="28">
        <v>10</v>
      </c>
      <c r="C1" s="28"/>
      <c r="D1" s="27"/>
      <c r="F1" s="19" t="s">
        <v>0</v>
      </c>
      <c r="G1" s="28">
        <v>100</v>
      </c>
      <c r="H1" s="28"/>
      <c r="I1" s="27"/>
      <c r="K1" s="19" t="s">
        <v>0</v>
      </c>
      <c r="L1" s="28">
        <v>200</v>
      </c>
      <c r="M1" s="28"/>
      <c r="N1" s="27"/>
      <c r="P1" s="19" t="s">
        <v>0</v>
      </c>
      <c r="Q1" s="28">
        <v>500</v>
      </c>
      <c r="R1" s="28"/>
      <c r="S1" s="27"/>
      <c r="U1" s="19" t="s">
        <v>0</v>
      </c>
      <c r="V1" s="28">
        <v>2000</v>
      </c>
      <c r="W1" s="28"/>
      <c r="X1" s="27"/>
    </row>
    <row r="2" spans="1:24">
      <c r="A2" s="1"/>
      <c r="B2" s="3" t="s">
        <v>1</v>
      </c>
      <c r="C2" s="2" t="s">
        <v>2</v>
      </c>
      <c r="D2" s="3" t="s">
        <v>3</v>
      </c>
      <c r="F2" s="1"/>
      <c r="G2" s="3" t="s">
        <v>1</v>
      </c>
      <c r="H2" s="2" t="s">
        <v>2</v>
      </c>
      <c r="I2" s="3" t="s">
        <v>3</v>
      </c>
      <c r="K2" s="1"/>
      <c r="L2" s="3" t="s">
        <v>1</v>
      </c>
      <c r="M2" s="2" t="s">
        <v>2</v>
      </c>
      <c r="N2" s="3" t="s">
        <v>3</v>
      </c>
      <c r="P2" s="1"/>
      <c r="Q2" s="3" t="s">
        <v>1</v>
      </c>
      <c r="R2" s="2" t="s">
        <v>2</v>
      </c>
      <c r="S2" s="3" t="s">
        <v>3</v>
      </c>
      <c r="U2" s="1"/>
      <c r="V2" s="3" t="s">
        <v>1</v>
      </c>
      <c r="W2" s="2" t="s">
        <v>2</v>
      </c>
      <c r="X2" s="3" t="s">
        <v>3</v>
      </c>
    </row>
    <row r="3" spans="1:24">
      <c r="A3" s="12">
        <v>1</v>
      </c>
      <c r="B3" s="4">
        <v>4.0000000000000001E-3</v>
      </c>
      <c r="C3" s="5">
        <v>1.0999999999999999E-2</v>
      </c>
      <c r="D3" s="6">
        <f>C3/B3</f>
        <v>2.75</v>
      </c>
      <c r="F3" s="12">
        <v>1</v>
      </c>
      <c r="G3" s="4">
        <v>1.6E-2</v>
      </c>
      <c r="H3" s="5">
        <v>0.1</v>
      </c>
      <c r="I3" s="6">
        <f>H3/G3</f>
        <v>6.25</v>
      </c>
      <c r="K3" s="12">
        <v>1</v>
      </c>
      <c r="L3" s="4">
        <v>3.1E-2</v>
      </c>
      <c r="M3" s="5">
        <v>0.21099999999999999</v>
      </c>
      <c r="N3" s="6">
        <f>M3/L3</f>
        <v>6.806451612903226</v>
      </c>
      <c r="P3" s="12">
        <v>1</v>
      </c>
      <c r="Q3" s="4">
        <v>7.8E-2</v>
      </c>
      <c r="R3" s="5">
        <v>0.69599999999999995</v>
      </c>
      <c r="S3" s="6">
        <f>R3/Q3</f>
        <v>8.9230769230769234</v>
      </c>
      <c r="U3" s="12">
        <v>1</v>
      </c>
      <c r="V3" s="4">
        <v>0.25900000000000001</v>
      </c>
      <c r="W3" s="5">
        <v>3.2269999999999999</v>
      </c>
      <c r="X3" s="6">
        <f>W3/V3</f>
        <v>12.459459459459458</v>
      </c>
    </row>
    <row r="4" spans="1:24">
      <c r="A4" s="13">
        <v>2</v>
      </c>
      <c r="B4" s="7">
        <v>4.0000000000000001E-3</v>
      </c>
      <c r="C4" s="8">
        <v>7.0000000000000001E-3</v>
      </c>
      <c r="D4" s="6">
        <f t="shared" ref="D4:D13" si="0">C4/B4</f>
        <v>1.75</v>
      </c>
      <c r="F4" s="13">
        <v>2</v>
      </c>
      <c r="G4" s="7">
        <v>1.6E-2</v>
      </c>
      <c r="H4" s="8">
        <v>8.7999999999999995E-2</v>
      </c>
      <c r="I4" s="6">
        <f t="shared" ref="I4:I13" si="1">H4/G4</f>
        <v>5.5</v>
      </c>
      <c r="K4" s="13">
        <v>2</v>
      </c>
      <c r="L4" s="7">
        <v>2.5000000000000001E-2</v>
      </c>
      <c r="M4" s="8">
        <v>0.19500000000000001</v>
      </c>
      <c r="N4" s="6">
        <f t="shared" ref="N4:N13" si="2">M4/L4</f>
        <v>7.8</v>
      </c>
      <c r="P4" s="13">
        <v>2</v>
      </c>
      <c r="Q4" s="7">
        <v>6.7000000000000004E-2</v>
      </c>
      <c r="R4" s="8">
        <v>0.70399999999999996</v>
      </c>
      <c r="S4" s="6">
        <f t="shared" ref="S4:S13" si="3">R4/Q4</f>
        <v>10.507462686567163</v>
      </c>
      <c r="U4" s="13">
        <v>2</v>
      </c>
      <c r="V4" s="7">
        <v>0.29099999999999998</v>
      </c>
      <c r="W4" s="8">
        <v>3.2679999999999998</v>
      </c>
      <c r="X4" s="6">
        <f t="shared" ref="X4:X13" si="4">W4/V4</f>
        <v>11.230240549828178</v>
      </c>
    </row>
    <row r="5" spans="1:24">
      <c r="A5" s="13">
        <v>3</v>
      </c>
      <c r="B5" s="7">
        <v>4.0000000000000001E-3</v>
      </c>
      <c r="C5" s="8">
        <v>8.0000000000000002E-3</v>
      </c>
      <c r="D5" s="6">
        <f t="shared" si="0"/>
        <v>2</v>
      </c>
      <c r="F5" s="13">
        <v>3</v>
      </c>
      <c r="G5" s="7">
        <v>1.6E-2</v>
      </c>
      <c r="H5" s="8">
        <v>9.7000000000000003E-2</v>
      </c>
      <c r="I5" s="6">
        <f t="shared" si="1"/>
        <v>6.0625</v>
      </c>
      <c r="K5" s="13">
        <v>3</v>
      </c>
      <c r="L5" s="7">
        <v>2.5999999999999999E-2</v>
      </c>
      <c r="M5" s="8">
        <v>0.20300000000000001</v>
      </c>
      <c r="N5" s="6">
        <f t="shared" si="2"/>
        <v>7.8076923076923084</v>
      </c>
      <c r="P5" s="13">
        <v>3</v>
      </c>
      <c r="Q5" s="7">
        <v>7.0999999999999994E-2</v>
      </c>
      <c r="R5" s="8">
        <v>0.70299999999999996</v>
      </c>
      <c r="S5" s="6">
        <f t="shared" si="3"/>
        <v>9.9014084507042259</v>
      </c>
      <c r="U5" s="13">
        <v>3</v>
      </c>
      <c r="V5" s="7">
        <v>0.27500000000000002</v>
      </c>
      <c r="W5" s="8">
        <v>3.4580000000000002</v>
      </c>
      <c r="X5" s="6">
        <f t="shared" si="4"/>
        <v>12.574545454545454</v>
      </c>
    </row>
    <row r="6" spans="1:24">
      <c r="A6" s="13">
        <v>4</v>
      </c>
      <c r="B6" s="7">
        <v>4.0000000000000001E-3</v>
      </c>
      <c r="C6" s="8">
        <v>7.0000000000000001E-3</v>
      </c>
      <c r="D6" s="6">
        <f t="shared" si="0"/>
        <v>1.75</v>
      </c>
      <c r="F6" s="13">
        <v>4</v>
      </c>
      <c r="G6" s="7">
        <v>1.4999999999999999E-2</v>
      </c>
      <c r="H6" s="8">
        <v>0.104</v>
      </c>
      <c r="I6" s="6">
        <f t="shared" si="1"/>
        <v>6.9333333333333336</v>
      </c>
      <c r="K6" s="13">
        <v>4</v>
      </c>
      <c r="L6" s="7">
        <v>2.4E-2</v>
      </c>
      <c r="M6" s="8">
        <v>0.21</v>
      </c>
      <c r="N6" s="6">
        <f t="shared" si="2"/>
        <v>8.75</v>
      </c>
      <c r="P6" s="13">
        <v>4</v>
      </c>
      <c r="Q6" s="7">
        <v>7.0999999999999994E-2</v>
      </c>
      <c r="R6" s="8">
        <v>0.71199999999999997</v>
      </c>
      <c r="S6" s="6">
        <f t="shared" si="3"/>
        <v>10.028169014084508</v>
      </c>
      <c r="U6" s="13">
        <v>4</v>
      </c>
      <c r="V6" s="7">
        <v>0.26900000000000002</v>
      </c>
      <c r="W6" s="8">
        <v>3.2559999999999998</v>
      </c>
      <c r="X6" s="6">
        <f t="shared" si="4"/>
        <v>12.104089219330854</v>
      </c>
    </row>
    <row r="7" spans="1:24">
      <c r="A7" s="13">
        <v>5</v>
      </c>
      <c r="B7" s="7">
        <v>3.0000000000000001E-3</v>
      </c>
      <c r="C7" s="8">
        <v>7.0000000000000001E-3</v>
      </c>
      <c r="D7" s="6">
        <f t="shared" si="0"/>
        <v>2.3333333333333335</v>
      </c>
      <c r="F7" s="13">
        <v>5</v>
      </c>
      <c r="G7" s="7">
        <v>1.4999999999999999E-2</v>
      </c>
      <c r="H7" s="8">
        <v>0.10299999999999999</v>
      </c>
      <c r="I7" s="6">
        <f t="shared" si="1"/>
        <v>6.8666666666666663</v>
      </c>
      <c r="K7" s="13">
        <v>5</v>
      </c>
      <c r="L7" s="7">
        <v>0.03</v>
      </c>
      <c r="M7" s="8">
        <v>0.22900000000000001</v>
      </c>
      <c r="N7" s="6">
        <f t="shared" si="2"/>
        <v>7.6333333333333337</v>
      </c>
      <c r="P7" s="13">
        <v>5</v>
      </c>
      <c r="Q7" s="7">
        <v>5.8999999999999997E-2</v>
      </c>
      <c r="R7" s="8">
        <v>0.59799999999999998</v>
      </c>
      <c r="S7" s="6">
        <f t="shared" si="3"/>
        <v>10.135593220338983</v>
      </c>
      <c r="U7" s="13">
        <v>5</v>
      </c>
      <c r="V7" s="7">
        <v>0.27400000000000002</v>
      </c>
      <c r="W7" s="8">
        <v>3.3180000000000001</v>
      </c>
      <c r="X7" s="6">
        <f t="shared" si="4"/>
        <v>12.10948905109489</v>
      </c>
    </row>
    <row r="8" spans="1:24">
      <c r="A8" s="13">
        <v>6</v>
      </c>
      <c r="B8" s="7">
        <v>4.0000000000000001E-3</v>
      </c>
      <c r="C8" s="8">
        <v>7.0000000000000001E-3</v>
      </c>
      <c r="D8" s="6">
        <f t="shared" si="0"/>
        <v>1.75</v>
      </c>
      <c r="F8" s="13">
        <v>6</v>
      </c>
      <c r="G8" s="7">
        <v>1.6E-2</v>
      </c>
      <c r="H8" s="8">
        <v>0.1</v>
      </c>
      <c r="I8" s="6">
        <f t="shared" si="1"/>
        <v>6.25</v>
      </c>
      <c r="K8" s="13">
        <v>6</v>
      </c>
      <c r="L8" s="7">
        <v>2.9000000000000001E-2</v>
      </c>
      <c r="M8" s="8">
        <v>0.24299999999999999</v>
      </c>
      <c r="N8" s="6">
        <f t="shared" si="2"/>
        <v>8.3793103448275854</v>
      </c>
      <c r="P8" s="13">
        <v>6</v>
      </c>
      <c r="Q8" s="7">
        <v>7.0999999999999994E-2</v>
      </c>
      <c r="R8" s="8">
        <v>0.70699999999999996</v>
      </c>
      <c r="S8" s="6">
        <f t="shared" si="3"/>
        <v>9.9577464788732399</v>
      </c>
      <c r="U8" s="13">
        <v>6</v>
      </c>
      <c r="V8" s="7">
        <v>0.28599999999999998</v>
      </c>
      <c r="W8" s="8">
        <v>3.9340000000000002</v>
      </c>
      <c r="X8" s="6">
        <f t="shared" si="4"/>
        <v>13.755244755244757</v>
      </c>
    </row>
    <row r="9" spans="1:24">
      <c r="A9" s="13">
        <v>7</v>
      </c>
      <c r="B9" s="7">
        <v>3.0000000000000001E-3</v>
      </c>
      <c r="C9" s="8">
        <v>8.0000000000000002E-3</v>
      </c>
      <c r="D9" s="6">
        <f t="shared" si="0"/>
        <v>2.6666666666666665</v>
      </c>
      <c r="F9" s="13">
        <v>7</v>
      </c>
      <c r="G9" s="7">
        <v>1.4999999999999999E-2</v>
      </c>
      <c r="H9" s="8">
        <v>9.7000000000000003E-2</v>
      </c>
      <c r="I9" s="6">
        <f t="shared" si="1"/>
        <v>6.4666666666666668</v>
      </c>
      <c r="K9" s="13">
        <v>7</v>
      </c>
      <c r="L9" s="7">
        <v>2.9000000000000001E-2</v>
      </c>
      <c r="M9" s="8">
        <v>0.22900000000000001</v>
      </c>
      <c r="N9" s="6">
        <f t="shared" si="2"/>
        <v>7.8965517241379306</v>
      </c>
      <c r="P9" s="13">
        <v>7</v>
      </c>
      <c r="Q9" s="7">
        <v>7.0999999999999994E-2</v>
      </c>
      <c r="R9" s="8">
        <v>0.73099999999999998</v>
      </c>
      <c r="S9" s="6">
        <f t="shared" si="3"/>
        <v>10.295774647887324</v>
      </c>
      <c r="U9" s="13">
        <v>7</v>
      </c>
      <c r="V9" s="7">
        <v>0.23200000000000001</v>
      </c>
      <c r="W9" s="8">
        <v>2.9350000000000001</v>
      </c>
      <c r="X9" s="6">
        <f t="shared" si="4"/>
        <v>12.650862068965516</v>
      </c>
    </row>
    <row r="10" spans="1:24">
      <c r="A10" s="13">
        <v>8</v>
      </c>
      <c r="B10" s="7">
        <v>4.0000000000000001E-3</v>
      </c>
      <c r="C10" s="8">
        <v>7.0000000000000001E-3</v>
      </c>
      <c r="D10" s="6">
        <f t="shared" si="0"/>
        <v>1.75</v>
      </c>
      <c r="F10" s="13">
        <v>8</v>
      </c>
      <c r="G10" s="7">
        <v>1.7000000000000001E-2</v>
      </c>
      <c r="H10" s="8">
        <v>0.107</v>
      </c>
      <c r="I10" s="6">
        <f t="shared" si="1"/>
        <v>6.2941176470588234</v>
      </c>
      <c r="K10" s="13">
        <v>8</v>
      </c>
      <c r="L10" s="7">
        <v>2.9000000000000001E-2</v>
      </c>
      <c r="M10" s="8">
        <v>0.23599999999999999</v>
      </c>
      <c r="N10" s="6">
        <f t="shared" si="2"/>
        <v>8.137931034482758</v>
      </c>
      <c r="P10" s="13">
        <v>8</v>
      </c>
      <c r="Q10" s="7">
        <v>6.5000000000000002E-2</v>
      </c>
      <c r="R10" s="8">
        <v>0.71</v>
      </c>
      <c r="S10" s="6">
        <f t="shared" si="3"/>
        <v>10.923076923076922</v>
      </c>
      <c r="U10" s="13">
        <v>8</v>
      </c>
      <c r="V10" s="7">
        <v>0.26300000000000001</v>
      </c>
      <c r="W10" s="8">
        <v>2.9340000000000002</v>
      </c>
      <c r="X10" s="6">
        <f t="shared" si="4"/>
        <v>11.155893536121674</v>
      </c>
    </row>
    <row r="11" spans="1:24">
      <c r="A11" s="13">
        <v>9</v>
      </c>
      <c r="B11" s="7">
        <v>5.0000000000000001E-3</v>
      </c>
      <c r="C11" s="8">
        <v>7.0000000000000001E-3</v>
      </c>
      <c r="D11" s="6">
        <f t="shared" si="0"/>
        <v>1.4</v>
      </c>
      <c r="F11" s="13">
        <v>9</v>
      </c>
      <c r="G11" s="7">
        <v>1.4999999999999999E-2</v>
      </c>
      <c r="H11" s="8">
        <v>9.9000000000000005E-2</v>
      </c>
      <c r="I11" s="6">
        <f t="shared" si="1"/>
        <v>6.6000000000000005</v>
      </c>
      <c r="K11" s="13">
        <v>9</v>
      </c>
      <c r="L11" s="7">
        <v>2.9000000000000001E-2</v>
      </c>
      <c r="M11" s="8">
        <v>0.23400000000000001</v>
      </c>
      <c r="N11" s="6">
        <f t="shared" si="2"/>
        <v>8.068965517241379</v>
      </c>
      <c r="P11" s="13">
        <v>9</v>
      </c>
      <c r="Q11" s="7">
        <v>6.9000000000000006E-2</v>
      </c>
      <c r="R11" s="8">
        <v>0.76500000000000001</v>
      </c>
      <c r="S11" s="6">
        <f t="shared" si="3"/>
        <v>11.086956521739129</v>
      </c>
      <c r="U11" s="13">
        <v>9</v>
      </c>
      <c r="V11" s="7">
        <v>0.27100000000000002</v>
      </c>
      <c r="W11" s="8">
        <v>3.2309999999999999</v>
      </c>
      <c r="X11" s="6">
        <f t="shared" si="4"/>
        <v>11.92250922509225</v>
      </c>
    </row>
    <row r="12" spans="1:24">
      <c r="A12" s="18">
        <v>10</v>
      </c>
      <c r="B12" s="10">
        <v>4.0000000000000001E-3</v>
      </c>
      <c r="C12" s="11">
        <v>8.0000000000000002E-3</v>
      </c>
      <c r="D12" s="20">
        <f t="shared" si="0"/>
        <v>2</v>
      </c>
      <c r="F12" s="18">
        <v>10</v>
      </c>
      <c r="G12" s="10">
        <v>1.7000000000000001E-2</v>
      </c>
      <c r="H12" s="11">
        <v>9.8000000000000004E-2</v>
      </c>
      <c r="I12" s="20">
        <f t="shared" si="1"/>
        <v>5.7647058823529411</v>
      </c>
      <c r="K12" s="18">
        <v>10</v>
      </c>
      <c r="L12" s="10">
        <v>3.3000000000000002E-2</v>
      </c>
      <c r="M12" s="11">
        <v>0.251</v>
      </c>
      <c r="N12" s="20">
        <f t="shared" si="2"/>
        <v>7.6060606060606055</v>
      </c>
      <c r="P12" s="18">
        <v>10</v>
      </c>
      <c r="Q12" s="10">
        <v>6.3E-2</v>
      </c>
      <c r="R12" s="11">
        <v>0.69699999999999995</v>
      </c>
      <c r="S12" s="20">
        <f t="shared" si="3"/>
        <v>11.063492063492063</v>
      </c>
      <c r="U12" s="18">
        <v>10</v>
      </c>
      <c r="V12" s="10">
        <v>0.29299999999999998</v>
      </c>
      <c r="W12" s="11">
        <v>3.1920000000000002</v>
      </c>
      <c r="X12" s="20">
        <f t="shared" si="4"/>
        <v>10.89419795221843</v>
      </c>
    </row>
    <row r="13" spans="1:24">
      <c r="A13" s="3" t="s">
        <v>4</v>
      </c>
      <c r="B13" s="17">
        <f>AVERAGE(B3:B12)</f>
        <v>3.8999999999999994E-3</v>
      </c>
      <c r="C13" s="15">
        <f>AVERAGE(C3:C12)</f>
        <v>7.7000000000000011E-3</v>
      </c>
      <c r="D13" s="16">
        <f t="shared" si="0"/>
        <v>1.9743589743589749</v>
      </c>
      <c r="F13" s="3" t="s">
        <v>4</v>
      </c>
      <c r="G13" s="17">
        <f>AVERAGE(G3:G12)</f>
        <v>1.5800000000000002E-2</v>
      </c>
      <c r="H13" s="15">
        <f>AVERAGE(H3:H12)</f>
        <v>9.9299999999999986E-2</v>
      </c>
      <c r="I13" s="16">
        <f t="shared" si="1"/>
        <v>6.2848101265822773</v>
      </c>
      <c r="K13" s="3" t="s">
        <v>4</v>
      </c>
      <c r="L13" s="17">
        <f>AVERAGE(L3:L12)</f>
        <v>2.8500000000000004E-2</v>
      </c>
      <c r="M13" s="15">
        <f>AVERAGE(M3:M12)</f>
        <v>0.22410000000000002</v>
      </c>
      <c r="N13" s="16">
        <f t="shared" si="2"/>
        <v>7.8631578947368412</v>
      </c>
      <c r="P13" s="3" t="s">
        <v>4</v>
      </c>
      <c r="Q13" s="17">
        <f>AVERAGE(Q3:Q12)</f>
        <v>6.8500000000000005E-2</v>
      </c>
      <c r="R13" s="15">
        <f>AVERAGE(R3:R12)</f>
        <v>0.70229999999999992</v>
      </c>
      <c r="S13" s="16">
        <f t="shared" si="3"/>
        <v>10.252554744525545</v>
      </c>
      <c r="U13" s="3" t="s">
        <v>4</v>
      </c>
      <c r="V13" s="17">
        <f>AVERAGE(V3:V12)</f>
        <v>0.27129999999999999</v>
      </c>
      <c r="W13" s="15">
        <f>AVERAGE(W3:W12)</f>
        <v>3.2753000000000001</v>
      </c>
      <c r="X13" s="16">
        <f t="shared" si="4"/>
        <v>12.072613343162551</v>
      </c>
    </row>
    <row r="27" spans="1:2">
      <c r="A27" s="26" t="s">
        <v>5</v>
      </c>
      <c r="B27" s="27"/>
    </row>
    <row r="28" spans="1:2">
      <c r="A28" s="14" t="s">
        <v>0</v>
      </c>
      <c r="B28" s="25" t="s">
        <v>3</v>
      </c>
    </row>
    <row r="29" spans="1:2">
      <c r="A29" s="24">
        <f>B1</f>
        <v>10</v>
      </c>
      <c r="B29" s="6">
        <f>D13</f>
        <v>1.9743589743589749</v>
      </c>
    </row>
    <row r="30" spans="1:2">
      <c r="A30" s="21">
        <f>G1</f>
        <v>100</v>
      </c>
      <c r="B30" s="9">
        <f>I13</f>
        <v>6.2848101265822773</v>
      </c>
    </row>
    <row r="31" spans="1:2">
      <c r="A31" s="21">
        <f>L1</f>
        <v>200</v>
      </c>
      <c r="B31" s="9">
        <f>N13</f>
        <v>7.8631578947368412</v>
      </c>
    </row>
    <row r="32" spans="1:2">
      <c r="A32" s="21">
        <f>Q1</f>
        <v>500</v>
      </c>
      <c r="B32" s="9">
        <f>S13</f>
        <v>10.252554744525545</v>
      </c>
    </row>
    <row r="33" spans="1:2">
      <c r="A33" s="22">
        <f>V1</f>
        <v>2000</v>
      </c>
      <c r="B33" s="23">
        <f>X13</f>
        <v>12.072613343162551</v>
      </c>
    </row>
  </sheetData>
  <mergeCells count="6">
    <mergeCell ref="V1:X1"/>
    <mergeCell ref="A27:B27"/>
    <mergeCell ref="B1:D1"/>
    <mergeCell ref="G1:I1"/>
    <mergeCell ref="L1:N1"/>
    <mergeCell ref="Q1:S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2026-05-28T09:17:42Z</dcterms:created>
  <dcterms:modified xsi:type="dcterms:W3CDTF">2026-05-28T10:17:13Z</dcterms:modified>
  <cp:category/>
  <cp:contentStatus/>
</cp:coreProperties>
</file>